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공종목록" sheetId="1" state="visible" r:id="rId3"/>
    <sheet name="산출내역" sheetId="2" state="visible" r:id="rId4"/>
    <sheet name="세부산출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<sst xmlns="http://schemas.openxmlformats.org/spreadsheetml/2006/main" count="100" uniqueCount="88">
  <si>
    <t xml:space="preserve">공종목록</t>
  </si>
  <si>
    <t xml:space="preserve">번호</t>
  </si>
  <si>
    <t xml:space="preserve">공종명</t>
  </si>
  <si>
    <t xml:space="preserve">금액</t>
  </si>
  <si>
    <t xml:space="preserve">1</t>
  </si>
  <si>
    <t xml:space="preserve">컴퓨팅 인프라</t>
  </si>
  <si>
    <t xml:space="preserve">2</t>
  </si>
  <si>
    <t xml:space="preserve">네트워크 인프라</t>
  </si>
  <si>
    <t xml:space="preserve">3</t>
  </si>
  <si>
    <t xml:space="preserve">스토리지</t>
  </si>
  <si>
    <t xml:space="preserve">4</t>
  </si>
  <si>
    <t xml:space="preserve">전산실 상면공사</t>
  </si>
  <si>
    <r>
      <rPr>
        <b val="true"/>
        <sz val="12"/>
        <rFont val="Noto Sans CJK SC"/>
        <family val="2"/>
      </rPr>
      <t xml:space="preserve">산출내역 </t>
    </r>
    <r>
      <rPr>
        <b val="true"/>
        <sz val="12"/>
        <rFont val="맑은 고딕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내역 트리</t>
    </r>
    <r>
      <rPr>
        <b val="true"/>
        <sz val="12"/>
        <rFont val="맑은 고딕"/>
        <family val="0"/>
        <charset val="1"/>
      </rPr>
      <t xml:space="preserve">)</t>
    </r>
  </si>
  <si>
    <t xml:space="preserve">내역번호</t>
  </si>
  <si>
    <t xml:space="preserve">항목명</t>
  </si>
  <si>
    <t xml:space="preserve">소계</t>
  </si>
  <si>
    <t xml:space="preserve">1.1.1</t>
  </si>
  <si>
    <r>
      <rPr>
        <sz val="10"/>
        <rFont val="맑은 고딕"/>
        <family val="0"/>
        <charset val="1"/>
      </rPr>
      <t xml:space="preserve">GPU </t>
    </r>
    <r>
      <rPr>
        <sz val="10"/>
        <rFont val="Noto Sans CJK SC"/>
        <family val="2"/>
      </rPr>
      <t xml:space="preserve">컴퓨팅 </t>
    </r>
    <r>
      <rPr>
        <sz val="10"/>
        <rFont val="맑은 고딕"/>
        <family val="0"/>
        <charset val="1"/>
      </rPr>
      <t xml:space="preserve">- GPU </t>
    </r>
    <r>
      <rPr>
        <sz val="10"/>
        <rFont val="Noto Sans CJK SC"/>
        <family val="2"/>
      </rPr>
      <t xml:space="preserve">서버 노드</t>
    </r>
  </si>
  <si>
    <t xml:space="preserve">1.1.2</t>
  </si>
  <si>
    <r>
      <rPr>
        <sz val="10"/>
        <rFont val="맑은 고딕"/>
        <family val="0"/>
        <charset val="1"/>
      </rPr>
      <t xml:space="preserve">GPU </t>
    </r>
    <r>
      <rPr>
        <sz val="10"/>
        <rFont val="Noto Sans CJK SC"/>
        <family val="2"/>
      </rPr>
      <t xml:space="preserve">컴퓨팅 </t>
    </r>
    <r>
      <rPr>
        <sz val="10"/>
        <rFont val="맑은 고딕"/>
        <family val="0"/>
        <charset val="1"/>
      </rPr>
      <t xml:space="preserve">- GPU </t>
    </r>
    <r>
      <rPr>
        <sz val="10"/>
        <rFont val="Noto Sans CJK SC"/>
        <family val="2"/>
      </rPr>
      <t xml:space="preserve">상호연결</t>
    </r>
  </si>
  <si>
    <t xml:space="preserve">1.2.1</t>
  </si>
  <si>
    <r>
      <rPr>
        <sz val="10"/>
        <rFont val="Noto Sans CJK SC"/>
        <family val="2"/>
      </rPr>
      <t xml:space="preserve">범용 서버 </t>
    </r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관리 서버</t>
    </r>
  </si>
  <si>
    <t xml:space="preserve">2.1.1</t>
  </si>
  <si>
    <r>
      <rPr>
        <sz val="10"/>
        <rFont val="Noto Sans CJK SC"/>
        <family val="2"/>
      </rPr>
      <t xml:space="preserve">백본 스위치 </t>
    </r>
    <r>
      <rPr>
        <sz val="10"/>
        <rFont val="맑은 고딕"/>
        <family val="0"/>
        <charset val="1"/>
      </rPr>
      <t xml:space="preserve">- Spine </t>
    </r>
    <r>
      <rPr>
        <sz val="10"/>
        <rFont val="Noto Sans CJK SC"/>
        <family val="2"/>
      </rPr>
      <t xml:space="preserve">스위치</t>
    </r>
  </si>
  <si>
    <t xml:space="preserve">2.1.2</t>
  </si>
  <si>
    <r>
      <rPr>
        <sz val="10"/>
        <rFont val="Noto Sans CJK SC"/>
        <family val="2"/>
      </rPr>
      <t xml:space="preserve">백본 스위치 </t>
    </r>
    <r>
      <rPr>
        <sz val="10"/>
        <rFont val="맑은 고딕"/>
        <family val="0"/>
        <charset val="1"/>
      </rPr>
      <t xml:space="preserve">- Leaf </t>
    </r>
    <r>
      <rPr>
        <sz val="10"/>
        <rFont val="Noto Sans CJK SC"/>
        <family val="2"/>
      </rPr>
      <t xml:space="preserve">스위치</t>
    </r>
  </si>
  <si>
    <t xml:space="preserve">2.2.1</t>
  </si>
  <si>
    <r>
      <rPr>
        <sz val="10"/>
        <rFont val="Noto Sans CJK SC"/>
        <family val="2"/>
      </rPr>
      <t xml:space="preserve">네트워크 보안 </t>
    </r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방화벽</t>
    </r>
  </si>
  <si>
    <t xml:space="preserve">3.1.1</t>
  </si>
  <si>
    <r>
      <rPr>
        <sz val="10"/>
        <rFont val="Noto Sans CJK SC"/>
        <family val="2"/>
      </rPr>
      <t xml:space="preserve">주 스토리지 </t>
    </r>
    <r>
      <rPr>
        <sz val="10"/>
        <rFont val="맑은 고딕"/>
        <family val="0"/>
        <charset val="1"/>
      </rPr>
      <t xml:space="preserve">- All-Flash Array</t>
    </r>
  </si>
  <si>
    <t xml:space="preserve">3.2.1</t>
  </si>
  <si>
    <r>
      <rPr>
        <sz val="10"/>
        <rFont val="Noto Sans CJK SC"/>
        <family val="2"/>
      </rPr>
      <t xml:space="preserve">백업 </t>
    </r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백업 스토리지</t>
    </r>
  </si>
  <si>
    <t xml:space="preserve">4.1.1</t>
  </si>
  <si>
    <r>
      <rPr>
        <sz val="10"/>
        <rFont val="Noto Sans CJK SC"/>
        <family val="2"/>
      </rPr>
      <t xml:space="preserve">전원 설비 </t>
    </r>
    <r>
      <rPr>
        <sz val="10"/>
        <rFont val="맑은 고딕"/>
        <family val="0"/>
        <charset val="1"/>
      </rPr>
      <t xml:space="preserve">- UPS</t>
    </r>
  </si>
  <si>
    <t xml:space="preserve">4.1.2</t>
  </si>
  <si>
    <r>
      <rPr>
        <sz val="10"/>
        <rFont val="Noto Sans CJK SC"/>
        <family val="2"/>
      </rPr>
      <t xml:space="preserve">전원 설비 </t>
    </r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랙</t>
    </r>
    <r>
      <rPr>
        <sz val="10"/>
        <rFont val="맑은 고딕"/>
        <family val="0"/>
        <charset val="1"/>
      </rPr>
      <t xml:space="preserve">/PDU</t>
    </r>
  </si>
  <si>
    <t xml:space="preserve">4.2.1</t>
  </si>
  <si>
    <r>
      <rPr>
        <sz val="10"/>
        <rFont val="Noto Sans CJK SC"/>
        <family val="2"/>
      </rPr>
      <t xml:space="preserve">공조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소방 </t>
    </r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항온항습기</t>
    </r>
  </si>
  <si>
    <t xml:space="preserve">4.2.2</t>
  </si>
  <si>
    <r>
      <rPr>
        <sz val="10"/>
        <rFont val="Noto Sans CJK SC"/>
        <family val="2"/>
      </rPr>
      <t xml:space="preserve">공조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소방 </t>
    </r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접지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차폐</t>
    </r>
  </si>
  <si>
    <t xml:space="preserve">세부산출</t>
  </si>
  <si>
    <t xml:space="preserve">품목</t>
  </si>
  <si>
    <t xml:space="preserve">규격</t>
  </si>
  <si>
    <t xml:space="preserve">단위</t>
  </si>
  <si>
    <t xml:space="preserve">수량</t>
  </si>
  <si>
    <t xml:space="preserve">단가</t>
  </si>
  <si>
    <t xml:space="preserve">1.1.1.1</t>
  </si>
  <si>
    <t xml:space="preserve">GPU Server</t>
  </si>
  <si>
    <t xml:space="preserve">H100x8</t>
  </si>
  <si>
    <t xml:space="preserve">대</t>
  </si>
  <si>
    <t xml:space="preserve">1.1.2.1</t>
  </si>
  <si>
    <t xml:space="preserve">InfiniBand</t>
  </si>
  <si>
    <t xml:space="preserve">NDR 400G 64port</t>
  </si>
  <si>
    <t xml:space="preserve">식</t>
  </si>
  <si>
    <t xml:space="preserve">1.2.1.1</t>
  </si>
  <si>
    <t xml:space="preserve">Mgmt Server</t>
  </si>
  <si>
    <t xml:space="preserve">2U</t>
  </si>
  <si>
    <t xml:space="preserve">2.1.1.1</t>
  </si>
  <si>
    <t xml:space="preserve">Spine SW</t>
  </si>
  <si>
    <t xml:space="preserve">400G</t>
  </si>
  <si>
    <t xml:space="preserve">2.1.2.1</t>
  </si>
  <si>
    <t xml:space="preserve">Leaf SW</t>
  </si>
  <si>
    <t xml:space="preserve">100G</t>
  </si>
  <si>
    <t xml:space="preserve">2.2.1.1</t>
  </si>
  <si>
    <t xml:space="preserve">F/W</t>
  </si>
  <si>
    <t xml:space="preserve">40G NGFW</t>
  </si>
  <si>
    <t xml:space="preserve">3.1.1.1</t>
  </si>
  <si>
    <t xml:space="preserve">AFA</t>
  </si>
  <si>
    <t xml:space="preserve">NVMe 500TB</t>
  </si>
  <si>
    <t xml:space="preserve">3.2.1.1</t>
  </si>
  <si>
    <t xml:space="preserve">Backup</t>
  </si>
  <si>
    <t xml:space="preserve">1PB</t>
  </si>
  <si>
    <t xml:space="preserve">4.1.1.1</t>
  </si>
  <si>
    <t xml:space="preserve">UPS</t>
  </si>
  <si>
    <t xml:space="preserve">500kVA</t>
  </si>
  <si>
    <t xml:space="preserve">4.1.2.1</t>
  </si>
  <si>
    <t xml:space="preserve">Rack</t>
  </si>
  <si>
    <t xml:space="preserve">42U</t>
  </si>
  <si>
    <t xml:space="preserve">4.1.2.2</t>
  </si>
  <si>
    <t xml:space="preserve">전원분배</t>
  </si>
  <si>
    <t xml:space="preserve">PDU 30kW</t>
  </si>
  <si>
    <t xml:space="preserve">EA</t>
  </si>
  <si>
    <t xml:space="preserve">4.2.1.1</t>
  </si>
  <si>
    <t xml:space="preserve">항온항습</t>
  </si>
  <si>
    <t xml:space="preserve">40RT</t>
  </si>
  <si>
    <t xml:space="preserve">4.2.2.1</t>
  </si>
  <si>
    <t xml:space="preserve">접지차폐</t>
  </si>
  <si>
    <t xml:space="preserve">일식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</si>
</sst>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Noto Sans CJK SC"/>
      <family val="2"/>
    </font>
    <font>
      <b val="true"/>
      <sz val="10"/>
      <color rgb="FFFFFFFF"/>
      <name val="Noto Sans CJK SC"/>
      <family val="2"/>
    </font>
    <font>
      <sz val="10"/>
      <name val="맑은 고딕"/>
      <family val="0"/>
      <charset val="1"/>
    </font>
    <font>
      <sz val="10"/>
      <name val="Noto Sans CJK SC"/>
      <family val="2"/>
    </font>
    <font>
      <b val="true"/>
      <sz val="12"/>
      <name val="맑은 고딕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18"/>
  </cols>
  <sheetData>
    <row r="1" customFormat="false" ht="15" hidden="false" customHeight="fals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3" t="s">
        <v>4</v>
      </c>
      <c r="B4" s="4" t="s">
        <v>5</v>
      </c>
      <c r="C4" s="5" t="n">
        <v>834868000</v>
      </c>
    </row>
    <row r="5" customFormat="false" ht="15" hidden="false" customHeight="false" outlineLevel="0" collapsed="false">
      <c r="A5" s="3" t="s">
        <v>6</v>
      </c>
      <c r="B5" s="4" t="s">
        <v>7</v>
      </c>
      <c r="C5" s="5" t="n">
        <v>216090000</v>
      </c>
    </row>
    <row r="6" customFormat="false" ht="15" hidden="false" customHeight="false" outlineLevel="0" collapsed="false">
      <c r="A6" s="3" t="s">
        <v>8</v>
      </c>
      <c r="B6" s="4" t="s">
        <v>9</v>
      </c>
      <c r="C6" s="5" t="n">
        <v>219933000</v>
      </c>
    </row>
    <row r="7" customFormat="false" ht="15" hidden="false" customHeight="false" outlineLevel="0" collapsed="false">
      <c r="A7" s="3" t="s">
        <v>10</v>
      </c>
      <c r="B7" s="4" t="s">
        <v>11</v>
      </c>
      <c r="C7" s="5" t="n">
        <v>340180000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8"/>
  </cols>
  <sheetData>
    <row r="1" customFormat="false" ht="19.4" hidden="false" customHeight="false" outlineLevel="0" collapsed="false">
      <c r="A1" s="1" t="s">
        <v>12</v>
      </c>
      <c r="B1" s="1"/>
      <c r="C1" s="1"/>
    </row>
    <row r="3" customFormat="false" ht="15" hidden="false" customHeight="false" outlineLevel="0" collapsed="false">
      <c r="A3" s="2" t="s">
        <v>13</v>
      </c>
      <c r="B3" s="2" t="s">
        <v>14</v>
      </c>
      <c r="C3" s="2" t="s">
        <v>15</v>
      </c>
    </row>
    <row r="4" customFormat="false" ht="15" hidden="false" customHeight="false" outlineLevel="0" collapsed="false">
      <c r="A4" s="3" t="s">
        <v>16</v>
      </c>
      <c r="B4" s="3" t="s">
        <v>17</v>
      </c>
      <c r="C4" s="5" t="n">
        <v>652592000</v>
      </c>
    </row>
    <row r="5" customFormat="false" ht="15" hidden="false" customHeight="false" outlineLevel="0" collapsed="false">
      <c r="A5" s="3" t="s">
        <v>18</v>
      </c>
      <c r="B5" s="3" t="s">
        <v>19</v>
      </c>
      <c r="C5" s="5" t="n">
        <v>159628000</v>
      </c>
    </row>
    <row r="6" customFormat="false" ht="15" hidden="false" customHeight="false" outlineLevel="0" collapsed="false">
      <c r="A6" s="3" t="s">
        <v>20</v>
      </c>
      <c r="B6" s="4" t="s">
        <v>21</v>
      </c>
      <c r="C6" s="5" t="n">
        <v>22648000</v>
      </c>
    </row>
    <row r="7" customFormat="false" ht="15" hidden="false" customHeight="false" outlineLevel="0" collapsed="false">
      <c r="A7" s="3" t="s">
        <v>22</v>
      </c>
      <c r="B7" s="4" t="s">
        <v>23</v>
      </c>
      <c r="C7" s="5" t="n">
        <v>57036000</v>
      </c>
    </row>
    <row r="8" customFormat="false" ht="15" hidden="false" customHeight="false" outlineLevel="0" collapsed="false">
      <c r="A8" s="3" t="s">
        <v>24</v>
      </c>
      <c r="B8" s="4" t="s">
        <v>25</v>
      </c>
      <c r="C8" s="5" t="n">
        <v>78416000</v>
      </c>
    </row>
    <row r="9" customFormat="false" ht="15" hidden="false" customHeight="false" outlineLevel="0" collapsed="false">
      <c r="A9" s="3" t="s">
        <v>26</v>
      </c>
      <c r="B9" s="4" t="s">
        <v>27</v>
      </c>
      <c r="C9" s="5" t="n">
        <v>80638000</v>
      </c>
    </row>
    <row r="10" customFormat="false" ht="15" hidden="false" customHeight="false" outlineLevel="0" collapsed="false">
      <c r="A10" s="3" t="s">
        <v>28</v>
      </c>
      <c r="B10" s="4" t="s">
        <v>29</v>
      </c>
      <c r="C10" s="5" t="n">
        <v>157465000</v>
      </c>
    </row>
    <row r="11" customFormat="false" ht="15" hidden="false" customHeight="false" outlineLevel="0" collapsed="false">
      <c r="A11" s="3" t="s">
        <v>30</v>
      </c>
      <c r="B11" s="4" t="s">
        <v>31</v>
      </c>
      <c r="C11" s="5" t="n">
        <v>62468000</v>
      </c>
    </row>
    <row r="12" customFormat="false" ht="15" hidden="false" customHeight="false" outlineLevel="0" collapsed="false">
      <c r="A12" s="3" t="s">
        <v>32</v>
      </c>
      <c r="B12" s="4" t="s">
        <v>33</v>
      </c>
      <c r="C12" s="5" t="n">
        <v>104324000</v>
      </c>
    </row>
    <row r="13" customFormat="false" ht="15" hidden="false" customHeight="false" outlineLevel="0" collapsed="false">
      <c r="A13" s="3" t="s">
        <v>34</v>
      </c>
      <c r="B13" s="4" t="s">
        <v>35</v>
      </c>
      <c r="C13" s="5" t="n">
        <v>55540000</v>
      </c>
    </row>
    <row r="14" customFormat="false" ht="15" hidden="false" customHeight="false" outlineLevel="0" collapsed="false">
      <c r="A14" s="3" t="s">
        <v>36</v>
      </c>
      <c r="B14" s="4" t="s">
        <v>37</v>
      </c>
      <c r="C14" s="5" t="n">
        <v>140124000</v>
      </c>
    </row>
    <row r="15" customFormat="false" ht="15" hidden="false" customHeight="false" outlineLevel="0" collapsed="false">
      <c r="A15" s="3" t="s">
        <v>38</v>
      </c>
      <c r="B15" s="4" t="s">
        <v>39</v>
      </c>
      <c r="C15" s="5" t="n">
        <v>40192000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2"/>
    <col collapsed="false" customWidth="true" hidden="false" outlineLevel="0" max="5" min="4" style="0" width="6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15" hidden="false" customHeight="false" outlineLevel="0" collapsed="false">
      <c r="A1" s="1" t="s">
        <v>40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13</v>
      </c>
      <c r="B3" s="2" t="s">
        <v>41</v>
      </c>
      <c r="C3" s="2" t="s">
        <v>42</v>
      </c>
      <c r="D3" s="2" t="s">
        <v>43</v>
      </c>
      <c r="E3" s="2" t="s">
        <v>44</v>
      </c>
      <c r="F3" s="2" t="s">
        <v>45</v>
      </c>
      <c r="G3" s="2" t="s">
        <v>3</v>
      </c>
    </row>
    <row r="4" customFormat="false" ht="15" hidden="false" customHeight="false" outlineLevel="0" collapsed="false">
      <c r="A4" s="3" t="s">
        <v>46</v>
      </c>
      <c r="B4" s="3" t="s">
        <v>47</v>
      </c>
      <c r="C4" s="3" t="s">
        <v>48</v>
      </c>
      <c r="D4" s="4" t="s">
        <v>49</v>
      </c>
      <c r="E4" s="3" t="n">
        <v>8</v>
      </c>
      <c r="F4" s="5" t="n">
        <v>81574000</v>
      </c>
      <c r="G4" s="5" t="n">
        <f aca="false">E4*F4</f>
        <v>652592000</v>
      </c>
    </row>
    <row r="5" customFormat="false" ht="15" hidden="false" customHeight="false" outlineLevel="0" collapsed="false">
      <c r="A5" s="3" t="s">
        <v>50</v>
      </c>
      <c r="B5" s="3" t="s">
        <v>51</v>
      </c>
      <c r="C5" s="3" t="s">
        <v>52</v>
      </c>
      <c r="D5" s="4" t="s">
        <v>53</v>
      </c>
      <c r="E5" s="3" t="n">
        <v>4</v>
      </c>
      <c r="F5" s="5" t="n">
        <v>39907000</v>
      </c>
      <c r="G5" s="5" t="n">
        <f aca="false">E5*F5</f>
        <v>159628000</v>
      </c>
    </row>
    <row r="6" customFormat="false" ht="15" hidden="false" customHeight="false" outlineLevel="0" collapsed="false">
      <c r="A6" s="3" t="s">
        <v>54</v>
      </c>
      <c r="B6" s="3" t="s">
        <v>55</v>
      </c>
      <c r="C6" s="3" t="s">
        <v>56</v>
      </c>
      <c r="D6" s="4" t="s">
        <v>49</v>
      </c>
      <c r="E6" s="3" t="n">
        <v>2</v>
      </c>
      <c r="F6" s="5" t="n">
        <v>11324000</v>
      </c>
      <c r="G6" s="5" t="n">
        <f aca="false">E6*F6</f>
        <v>22648000</v>
      </c>
    </row>
    <row r="7" customFormat="false" ht="15" hidden="false" customHeight="false" outlineLevel="0" collapsed="false">
      <c r="A7" s="3" t="s">
        <v>57</v>
      </c>
      <c r="B7" s="3" t="s">
        <v>58</v>
      </c>
      <c r="C7" s="3" t="s">
        <v>59</v>
      </c>
      <c r="D7" s="4" t="s">
        <v>49</v>
      </c>
      <c r="E7" s="3" t="n">
        <v>2</v>
      </c>
      <c r="F7" s="5" t="n">
        <v>28518000</v>
      </c>
      <c r="G7" s="5" t="n">
        <f aca="false">E7*F7</f>
        <v>57036000</v>
      </c>
    </row>
    <row r="8" customFormat="false" ht="15" hidden="false" customHeight="false" outlineLevel="0" collapsed="false">
      <c r="A8" s="3" t="s">
        <v>60</v>
      </c>
      <c r="B8" s="3" t="s">
        <v>61</v>
      </c>
      <c r="C8" s="3" t="s">
        <v>62</v>
      </c>
      <c r="D8" s="4" t="s">
        <v>49</v>
      </c>
      <c r="E8" s="3" t="n">
        <v>8</v>
      </c>
      <c r="F8" s="5" t="n">
        <v>9802000</v>
      </c>
      <c r="G8" s="5" t="n">
        <f aca="false">E8*F8</f>
        <v>78416000</v>
      </c>
    </row>
    <row r="9" customFormat="false" ht="15" hidden="false" customHeight="false" outlineLevel="0" collapsed="false">
      <c r="A9" s="3" t="s">
        <v>63</v>
      </c>
      <c r="B9" s="3" t="s">
        <v>64</v>
      </c>
      <c r="C9" s="3" t="s">
        <v>65</v>
      </c>
      <c r="D9" s="4" t="s">
        <v>53</v>
      </c>
      <c r="E9" s="3" t="n">
        <v>2</v>
      </c>
      <c r="F9" s="5" t="n">
        <v>40319000</v>
      </c>
      <c r="G9" s="5" t="n">
        <f aca="false">E9*F9</f>
        <v>80638000</v>
      </c>
    </row>
    <row r="10" customFormat="false" ht="15" hidden="false" customHeight="false" outlineLevel="0" collapsed="false">
      <c r="A10" s="3" t="s">
        <v>66</v>
      </c>
      <c r="B10" s="3" t="s">
        <v>67</v>
      </c>
      <c r="C10" s="3" t="s">
        <v>68</v>
      </c>
      <c r="D10" s="4" t="s">
        <v>53</v>
      </c>
      <c r="E10" s="3" t="n">
        <v>1</v>
      </c>
      <c r="F10" s="5" t="n">
        <v>157465000</v>
      </c>
      <c r="G10" s="5" t="n">
        <f aca="false">E10*F10</f>
        <v>157465000</v>
      </c>
    </row>
    <row r="11" customFormat="false" ht="15" hidden="false" customHeight="false" outlineLevel="0" collapsed="false">
      <c r="A11" s="3" t="s">
        <v>69</v>
      </c>
      <c r="B11" s="3" t="s">
        <v>70</v>
      </c>
      <c r="C11" s="3" t="s">
        <v>71</v>
      </c>
      <c r="D11" s="4" t="s">
        <v>53</v>
      </c>
      <c r="E11" s="3" t="n">
        <v>1</v>
      </c>
      <c r="F11" s="5" t="n">
        <v>62468000</v>
      </c>
      <c r="G11" s="5" t="n">
        <f aca="false">E11*F11</f>
        <v>62468000</v>
      </c>
    </row>
    <row r="12" customFormat="false" ht="15" hidden="false" customHeight="false" outlineLevel="0" collapsed="false">
      <c r="A12" s="3" t="s">
        <v>72</v>
      </c>
      <c r="B12" s="3" t="s">
        <v>73</v>
      </c>
      <c r="C12" s="3" t="s">
        <v>74</v>
      </c>
      <c r="D12" s="4" t="s">
        <v>53</v>
      </c>
      <c r="E12" s="3" t="n">
        <v>2</v>
      </c>
      <c r="F12" s="5" t="n">
        <v>52162000</v>
      </c>
      <c r="G12" s="5" t="n">
        <f aca="false">E12*F12</f>
        <v>104324000</v>
      </c>
    </row>
    <row r="13" customFormat="false" ht="15" hidden="false" customHeight="false" outlineLevel="0" collapsed="false">
      <c r="A13" s="3" t="s">
        <v>75</v>
      </c>
      <c r="B13" s="3" t="s">
        <v>76</v>
      </c>
      <c r="C13" s="3" t="s">
        <v>77</v>
      </c>
      <c r="D13" s="4" t="s">
        <v>49</v>
      </c>
      <c r="E13" s="3" t="n">
        <v>20</v>
      </c>
      <c r="F13" s="5" t="n">
        <v>1311000</v>
      </c>
      <c r="G13" s="5" t="n">
        <f aca="false">E13*F13</f>
        <v>26220000</v>
      </c>
    </row>
    <row r="14" customFormat="false" ht="15" hidden="false" customHeight="false" outlineLevel="0" collapsed="false">
      <c r="A14" s="3" t="s">
        <v>78</v>
      </c>
      <c r="B14" s="4" t="s">
        <v>79</v>
      </c>
      <c r="C14" s="3" t="s">
        <v>80</v>
      </c>
      <c r="D14" s="3" t="s">
        <v>81</v>
      </c>
      <c r="E14" s="3" t="n">
        <v>40</v>
      </c>
      <c r="F14" s="5" t="n">
        <v>733000</v>
      </c>
      <c r="G14" s="5" t="n">
        <f aca="false">E14*F14</f>
        <v>29320000</v>
      </c>
    </row>
    <row r="15" customFormat="false" ht="15" hidden="false" customHeight="false" outlineLevel="0" collapsed="false">
      <c r="A15" s="3" t="s">
        <v>82</v>
      </c>
      <c r="B15" s="4" t="s">
        <v>83</v>
      </c>
      <c r="C15" s="3" t="s">
        <v>84</v>
      </c>
      <c r="D15" s="4" t="s">
        <v>49</v>
      </c>
      <c r="E15" s="3" t="n">
        <v>6</v>
      </c>
      <c r="F15" s="5" t="n">
        <v>23354000</v>
      </c>
      <c r="G15" s="5" t="n">
        <f aca="false">E15*F15</f>
        <v>140124000</v>
      </c>
    </row>
    <row r="16" customFormat="false" ht="15" hidden="false" customHeight="false" outlineLevel="0" collapsed="false">
      <c r="A16" s="3" t="s">
        <v>85</v>
      </c>
      <c r="B16" s="4" t="s">
        <v>86</v>
      </c>
      <c r="C16" s="4" t="s">
        <v>87</v>
      </c>
      <c r="D16" s="4" t="s">
        <v>53</v>
      </c>
      <c r="E16" s="3" t="n">
        <v>1</v>
      </c>
      <c r="F16" s="5" t="n">
        <v>40192000</v>
      </c>
      <c r="G16" s="5" t="n">
        <f aca="false">E16*F16</f>
        <v>40192000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2026-07-07T16:48:11Z</dcterms:created>
  <dc:creator>openpyxl</dc:creator>
  <dc:description/>
  <dc:language>en-US</dc:language>
  <cp:lastModifiedBy/>
  <dcterms:modified xsi:type="dcterms:W3CDTF">2026-07-07T16:48:11Z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